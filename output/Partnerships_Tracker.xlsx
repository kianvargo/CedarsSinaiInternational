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Partnerships" sheetId="2" state="visible" r:id="rId2"/>
    <sheet xmlns:r="http://schemas.openxmlformats.org/officeDocument/2006/relationships" name="Coverage"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sz val="10"/>
    </font>
    <font>
      <name val="Arial"/>
      <b val="1"/>
      <color rgb="00FFFFFF"/>
    </font>
    <font>
      <name val="Arial"/>
      <b val="1"/>
      <color rgb="00D91F2C"/>
      <sz val="14"/>
    </font>
    <font>
      <name val="Arial"/>
      <color rgb="000000FF"/>
    </font>
    <font>
      <name val="Arial"/>
      <color rgb="000000FF"/>
      <sz val="10"/>
    </font>
  </fonts>
  <fills count="3">
    <fill>
      <patternFill/>
    </fill>
    <fill>
      <patternFill patternType="gray125"/>
    </fill>
    <fill>
      <patternFill patternType="solid">
        <fgColor rgb="00D91F2C"/>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0" borderId="0" pivotButton="0" quotePrefix="0" xfId="0"/>
    <xf numFmtId="0" fontId="5" fillId="0" borderId="0" pivotButton="0" quotePrefix="0" xfId="0"/>
    <xf numFmtId="0" fontId="2" fillId="2" borderId="0" applyAlignment="1" pivotButton="0" quotePrefix="0" xfId="0">
      <alignment vertical="center" wrapText="1"/>
    </xf>
    <xf numFmtId="0" fontId="1" fillId="0" borderId="0" applyAlignment="1" pivotButton="0" quotePrefix="0" xfId="0">
      <alignment vertical="top" wrapText="1"/>
    </xf>
    <xf numFmtId="164" fontId="1" fillId="0" borderId="0" applyAlignment="1" pivotButton="0" quotePrefix="0" xfId="0">
      <alignment vertical="top" wrapText="1"/>
    </xf>
    <xf numFmtId="1" fontId="1" fillId="0" borderId="0" applyAlignment="1" pivotButton="0" quotePrefix="0" xfId="0">
      <alignment vertical="top" wrapText="1"/>
    </xf>
    <xf numFmtId="0" fontId="2"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Partnerships" displayName="Partnerships" ref="A1:K16" headerRowCount="1">
  <autoFilter ref="A1:K16"/>
  <tableColumns count="11">
    <tableColumn id="1" name="Country"/>
    <tableColumn id="2" name="Group"/>
    <tableColumn id="3" name="Institution"/>
    <tableColumn id="4" name="Partner(s)"/>
    <tableColumn id="5" name="Relationship"/>
    <tableColumn id="6" name="Status"/>
    <tableColumn id="7" name="Last verified"/>
    <tableColumn id="8" name="Days since verified"/>
    <tableColumn id="9" name="Needs re-check"/>
    <tableColumn id="10" name="Summary"/>
    <tableColumn id="11" name="Source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10" customWidth="1" min="1" max="1"/>
    <col width="70" customWidth="1" min="3" max="3"/>
  </cols>
  <sheetData>
    <row r="1">
      <c r="A1" s="1" t="inlineStr">
        <is>
          <t>Cedars-Sinai International partnerships tracker</t>
        </is>
      </c>
    </row>
    <row r="2">
      <c r="A2" s="2" t="n"/>
      <c r="B2" s="2" t="n"/>
      <c r="C2" s="2" t="n"/>
    </row>
    <row r="3">
      <c r="A3" s="2" t="inlineStr">
        <is>
          <t>Re-check after (days)</t>
        </is>
      </c>
      <c r="B3" s="3" t="n">
        <v>90</v>
      </c>
      <c r="C3" s="2" t="inlineStr">
        <is>
          <t>Input: edit this number to change when a record is flagged in 'Needs re-check'.</t>
        </is>
      </c>
    </row>
    <row r="4">
      <c r="A4" s="2" t="n"/>
      <c r="B4" s="2" t="n"/>
      <c r="C4" s="2" t="n"/>
    </row>
    <row r="5">
      <c r="A5" s="2" t="inlineStr">
        <is>
          <t>Source of truth is data/partnerships.json in the repository; this workbook is regenerated from it (python3 scripts/tracker.py export). Edits made here are not saved back.</t>
        </is>
      </c>
      <c r="B5" s="2" t="n"/>
      <c r="C5" s="2" t="n"/>
    </row>
    <row r="6">
      <c r="A6" s="2" t="inlineStr">
        <is>
          <t>Each record was verified by the country-profile pipeline (research, three independent verifiers, resolution) against primary sources on the 'Last verified' date.</t>
        </is>
      </c>
      <c r="B6" s="2" t="n"/>
      <c r="C6" s="2" t="n"/>
    </row>
    <row r="7">
      <c r="A7" s="2" t="inlineStr">
        <is>
          <t>Status says only what sources support. 'Current status not confirmed' means the start is documented but no public evidence from recent years shows the relationship is active or has ended.</t>
        </is>
      </c>
      <c r="B7" s="2" t="n"/>
      <c r="C7" s="2" t="n"/>
    </row>
    <row r="8">
      <c r="A8" s="2" t="inlineStr">
        <is>
          <t>Coverage tab: status of each monitored US institution in each country profiled so far (filled from the data file when exported).</t>
        </is>
      </c>
      <c r="B8" s="2" t="n"/>
      <c r="C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4" customWidth="1" min="3" max="3"/>
    <col width="32" customWidth="1" min="4" max="4"/>
    <col width="30" customWidth="1" min="5" max="5"/>
    <col width="34" customWidth="1" min="6" max="6"/>
    <col width="13" customWidth="1" min="7" max="7"/>
    <col width="11" customWidth="1" min="8" max="8"/>
    <col width="10" customWidth="1" min="9" max="9"/>
    <col width="60" customWidth="1" min="10" max="10"/>
    <col width="60" customWidth="1" min="11" max="11"/>
  </cols>
  <sheetData>
    <row r="1">
      <c r="A1" s="4" t="inlineStr">
        <is>
          <t>Country</t>
        </is>
      </c>
      <c r="B1" s="4" t="inlineStr">
        <is>
          <t>Group</t>
        </is>
      </c>
      <c r="C1" s="4" t="inlineStr">
        <is>
          <t>Institution</t>
        </is>
      </c>
      <c r="D1" s="4" t="inlineStr">
        <is>
          <t>Partner(s)</t>
        </is>
      </c>
      <c r="E1" s="4" t="inlineStr">
        <is>
          <t>Relationship</t>
        </is>
      </c>
      <c r="F1" s="4" t="inlineStr">
        <is>
          <t>Status</t>
        </is>
      </c>
      <c r="G1" s="4" t="inlineStr">
        <is>
          <t>Last verified</t>
        </is>
      </c>
      <c r="H1" s="4" t="inlineStr">
        <is>
          <t>Days since verified</t>
        </is>
      </c>
      <c r="I1" s="4" t="inlineStr">
        <is>
          <t>Needs re-check</t>
        </is>
      </c>
      <c r="J1" s="4" t="inlineStr">
        <is>
          <t>Summary</t>
        </is>
      </c>
      <c r="K1" s="4" t="inlineStr">
        <is>
          <t>Sources</t>
        </is>
      </c>
    </row>
    <row r="2">
      <c r="A2" s="5" t="inlineStr">
        <is>
          <t>India</t>
        </is>
      </c>
      <c r="B2" s="5" t="inlineStr">
        <is>
          <t>Other foreign health systems and investors</t>
        </is>
      </c>
      <c r="C2" s="5" t="inlineStr">
        <is>
          <t>Blackstone</t>
        </is>
      </c>
      <c r="D2" s="5" t="inlineStr">
        <is>
          <t>Aster DM Quality Care (Aster DM Healthcare merged with Quality Care India)</t>
        </is>
      </c>
      <c r="E2" s="5" t="inlineStr">
        <is>
          <t>Private equity shareholder</t>
        </is>
      </c>
      <c r="F2" s="5" t="inlineStr">
        <is>
          <t>Merger announced January 2025; effective July 2026</t>
        </is>
      </c>
      <c r="G2" s="6" t="n">
        <v>46290</v>
      </c>
      <c r="H2" s="7">
        <f>TODAY()-G2</f>
        <v/>
      </c>
      <c r="I2" s="5">
        <f>IF(H2&gt;'About'!$B$3,"Yes","No")</f>
        <v/>
      </c>
      <c r="J2" s="5" t="inlineStr">
        <is>
          <t>Aster DM Healthcare and Blackstone-backed Quality Care India announced their merger in January 2025, and the combined Aster DM Quality Care began operating in July 2026 with more than 10,600 beds.</t>
        </is>
      </c>
      <c r="K2" s="5" t="inlineStr">
        <is>
          <t>Aster DM Healthcare: https://www.asterdmhealthcare.in/newsroom/detail/aster-and-blackstone-backed-quality-care-have-merged-establish-one-of-top-3-hospital-chains-india
HealthCare Middle East &amp; Africa: https://www.healthcaremea.com/2026/07/03/aster-dm-quality-care-begins-operations-post-merger-with-over-10600-beds/</t>
        </is>
      </c>
    </row>
    <row r="3">
      <c r="A3" s="5" t="inlineStr">
        <is>
          <t>India</t>
        </is>
      </c>
      <c r="B3" s="5" t="inlineStr">
        <is>
          <t>Other foreign health systems and investors</t>
        </is>
      </c>
      <c r="C3" s="5" t="inlineStr">
        <is>
          <t>IHH Healthcare (Malaysia)</t>
        </is>
      </c>
      <c r="D3" s="5" t="inlineStr">
        <is>
          <t>Fortis Healthcare</t>
        </is>
      </c>
      <c r="E3" s="5" t="inlineStr">
        <is>
          <t>Controlling shareholder</t>
        </is>
      </c>
      <c r="F3" s="5" t="inlineStr">
        <is>
          <t>Controlling shareholder; open offer closed November 2025</t>
        </is>
      </c>
      <c r="G3" s="6" t="n">
        <v>46290</v>
      </c>
      <c r="H3" s="7">
        <f>TODAY()-G3</f>
        <v/>
      </c>
      <c r="I3" s="5">
        <f>IF(H3&gt;'About'!$B$3,"Yes","No")</f>
        <v/>
      </c>
      <c r="J3" s="5" t="inlineStr">
        <is>
          <t>Malaysia's IHH Healthcare controls Fortis. Its mandatory open offer closed in November 2025 with only 1,778 shares tendered, leaving its stake at about 31.17 percent.</t>
        </is>
      </c>
      <c r="K3" s="5" t="inlineStr">
        <is>
          <t>InvestyWise: https://www.investywise.com/fortis-healthcare-results-of-open-offers/</t>
        </is>
      </c>
    </row>
    <row r="4">
      <c r="A4" s="5" t="inlineStr">
        <is>
          <t>India</t>
        </is>
      </c>
      <c r="B4" s="5" t="inlineStr">
        <is>
          <t>Other foreign health systems and investors</t>
        </is>
      </c>
      <c r="C4" s="5" t="inlineStr">
        <is>
          <t>KKR</t>
        </is>
      </c>
      <c r="D4" s="5" t="inlineStr">
        <is>
          <t>Medicover India (sold by Sweden's Medicover)</t>
        </is>
      </c>
      <c r="E4" s="5" t="inlineStr">
        <is>
          <t>Acquisition</t>
        </is>
      </c>
      <c r="F4" s="5" t="inlineStr">
        <is>
          <t>Agreed August 2026; closing expected in the fourth quarter of 2026</t>
        </is>
      </c>
      <c r="G4" s="6" t="n">
        <v>46290</v>
      </c>
      <c r="H4" s="7">
        <f>TODAY()-G4</f>
        <v/>
      </c>
      <c r="I4" s="5">
        <f>IF(H4&gt;'About'!$B$3,"Yes","No")</f>
        <v/>
      </c>
      <c r="J4" s="5" t="inlineStr">
        <is>
          <t>KKR agreed on 6 August 2026 to buy Medicover India, 24 hospitals with about 4,800 beds, from Sweden's Medicover, which is leaving the Indian hospital market. Closing is expected in the fourth quarter of 2026, subject to approvals.</t>
        </is>
      </c>
      <c r="K4" s="5" t="inlineStr">
        <is>
          <t>KKR: https://www.nasdaq.com/press-release/kkr-acquire-leading-multi-specialty-healthcare-provider-medicover-india-2026-08-06
Medicover: https://www.tradingview.com/news/modular_finance:0f6ef34bba47c:0-medicover-divests-its-india-hospital-business-enabling-accelerated-strategy-execution-in-europe/</t>
        </is>
      </c>
    </row>
    <row r="5">
      <c r="A5" s="5" t="inlineStr">
        <is>
          <t>India</t>
        </is>
      </c>
      <c r="B5" s="5" t="inlineStr">
        <is>
          <t>Other foreign health systems and investors</t>
        </is>
      </c>
      <c r="C5" s="5" t="inlineStr">
        <is>
          <t>King's College London; Guy's and St Thomas' NHS Foundation Trust</t>
        </is>
      </c>
      <c r="D5" s="5" t="inlineStr">
        <is>
          <t>P. D. Hinduja Hospital (Mumbai)</t>
        </is>
      </c>
      <c r="E5" s="5" t="inlineStr">
        <is>
          <t>Health Partners Academy</t>
        </is>
      </c>
      <c r="F5" s="5" t="inlineStr">
        <is>
          <t>Formed April 2024; current status not confirmed</t>
        </is>
      </c>
      <c r="G5" s="6" t="n">
        <v>46290</v>
      </c>
      <c r="H5" s="7">
        <f>TODAY()-G5</f>
        <v/>
      </c>
      <c r="I5" s="5">
        <f>IF(H5&gt;'About'!$B$3,"Yes","No")</f>
        <v/>
      </c>
      <c r="J5" s="5" t="inlineStr">
        <is>
          <t>King's College London and Guy's and St Thomas' NHS Foundation Trust formed a Health Partners Academy with P. D. Hinduja Hospital in April 2024.</t>
        </is>
      </c>
      <c r="K5" s="5" t="inlineStr">
        <is>
          <t>King's College London: https://www.kcl.ac.uk/news/new-partnership-to-improve-healthcare-outcomes-in-india-and-the-uk
P. D. Hinduja Hospital: https://www.hindujahospital.com/press-release/kings-college-london-and-guys-and-st-thomas-nhs-foundation-trust-p-d-hinduja-hospital/</t>
        </is>
      </c>
    </row>
    <row r="6">
      <c r="A6" s="5" t="inlineStr">
        <is>
          <t>India</t>
        </is>
      </c>
      <c r="B6" s="5" t="inlineStr">
        <is>
          <t>US academic medical centers</t>
        </is>
      </c>
      <c r="C6" s="5" t="inlineStr">
        <is>
          <t>Cleveland Clinic</t>
        </is>
      </c>
      <c r="D6" s="5" t="inlineStr">
        <is>
          <t>Government of Maharashtra; Brookfield Asset Management; Arodhan Health City (Navi Mumbai International MediCity)</t>
        </is>
      </c>
      <c r="E6" s="5" t="inlineStr">
        <is>
          <t>Anchor institution under MoU; in-country patient representative</t>
        </is>
      </c>
      <c r="F6" s="5" t="inlineStr">
        <is>
          <t>MoU signed June 2026; project at MoU stage</t>
        </is>
      </c>
      <c r="G6" s="6" t="n">
        <v>46290</v>
      </c>
      <c r="H6" s="7">
        <f>TODAY()-G6</f>
        <v/>
      </c>
      <c r="I6" s="5">
        <f>IF(H6&gt;'About'!$B$3,"Yes","No")</f>
        <v/>
      </c>
      <c r="J6" s="5" t="inlineStr">
        <is>
          <t>Cleveland Clinic signed an MoU on 10 June 2026 with Maharashtra, Brookfield and Arodhan Health City to anchor the planned US$1.2 billion, 250-acre Navi Mumbai International MediCity, and CEO Tom Mihaljevic is quoted in the state's announcement. The project is at MoU stage. Cleveland Clinic also keeps a patient representative for India.</t>
        </is>
      </c>
      <c r="K6" s="5" t="inlineStr">
        <is>
          <t>Free Press Journal: https://www.freepressjournal.in/mumbai/maharashtra-signs-mou-with-cleveland-clinic-and-brookfield-for-navi-mumbai-international-medicity-indias-first-global-scale-healthcare-hub
Anurag Roushan: https://www.indiatvnews.com/maharashtra/maharashtra-s-mega-medicity-takes-off-cleveland-clinic-joins-rs-10000-crore-healthcare-hub-2026-06-11-1044486
Cleveland Clinic: https://my.clevelandclinic.org/patients/international/locations/india</t>
        </is>
      </c>
    </row>
    <row r="7">
      <c r="A7" s="5" t="inlineStr">
        <is>
          <t>India</t>
        </is>
      </c>
      <c r="B7" s="5" t="inlineStr">
        <is>
          <t>US academic medical centers</t>
        </is>
      </c>
      <c r="C7" s="5" t="inlineStr">
        <is>
          <t>Houston Methodist; Northwestern Medicine</t>
        </is>
      </c>
      <c r="D7" s="5" t="inlineStr">
        <is>
          <t>None identified</t>
        </is>
      </c>
      <c r="E7" s="5" t="inlineStr">
        <is>
          <t>None identified</t>
        </is>
      </c>
      <c r="F7" s="5" t="inlineStr">
        <is>
          <t>No India partnership listed (2026)</t>
        </is>
      </c>
      <c r="G7" s="6" t="n">
        <v>46290</v>
      </c>
      <c r="H7" s="7">
        <f>TODAY()-G7</f>
        <v/>
      </c>
      <c r="I7" s="5">
        <f>IF(H7&gt;'About'!$B$3,"Yes","No")</f>
        <v/>
      </c>
      <c r="J7" s="5" t="inlineStr">
        <is>
          <t>No India partnership was found on the international pages of Houston Methodist or Northwestern Medicine.</t>
        </is>
      </c>
      <c r="K7" s="5" t="inlineStr">
        <is>
          <t>Houston Methodist: https://www.houstonmethodist.org/for-health-professionals/global-health-care-services/affiliations/
Northwestern Medicine Global Services: https://www.northwesternglobalservices.com/case-studies.html</t>
        </is>
      </c>
    </row>
    <row r="8">
      <c r="A8" s="5" t="inlineStr">
        <is>
          <t>India</t>
        </is>
      </c>
      <c r="B8" s="5" t="inlineStr">
        <is>
          <t>US academic medical centers</t>
        </is>
      </c>
      <c r="C8" s="5" t="inlineStr">
        <is>
          <t>Johns Hopkins</t>
        </is>
      </c>
      <c r="D8" s="5" t="inlineStr">
        <is>
          <t>HCL Healthcare; IIT Bombay (Koita Centre for Digital Health)</t>
        </is>
      </c>
      <c r="E8" s="5" t="inlineStr">
        <is>
          <t>Consulting affiliation through Johns Hopkins Medicine International; university research collaboration</t>
        </is>
      </c>
      <c r="F8" s="5" t="inlineStr">
        <is>
          <t>HCL affiliation began 2014 for 10 years, current status not confirmed; IIT Bombay collaboration announced 2023, current status not confirmed</t>
        </is>
      </c>
      <c r="G8" s="6" t="n">
        <v>46290</v>
      </c>
      <c r="H8" s="7">
        <f>TODAY()-G8</f>
        <v/>
      </c>
      <c r="I8" s="5">
        <f>IF(H8&gt;'About'!$B$3,"Yes","No")</f>
        <v/>
      </c>
      <c r="J8" s="5" t="inlineStr">
        <is>
          <t>Johns Hopkins Medicine International describes a 10-year affiliation with HCL Healthcare from February 2014 covering outpatient and specialty care, training and clinical services. Whether it continued beyond 2024 is not publicly known. Johns Hopkins University and IIT Bombay's Koita Centre for Digital Health announced a digital-health research collaboration on 9 February 2023.</t>
        </is>
      </c>
      <c r="K8" s="5" t="inlineStr">
        <is>
          <t>Johns Hopkins Medicine International: https://www.hopkinsmedicine.org/international/health-care-consulting/asia-pacific/hcl-healthcare
Domain-b: https://www.domain-b.com/companies-organisations/firms-companies/hcl-enters-healthcare-with-hcl-avitas
Gupta-Klinsky India Institute, Johns Hopkins University: https://indiainstitute.jhu.edu/news/news-2025/news-from-gkii/collaboration-agreement-with-iit-bombay-and-roundtable-discussion-shine-a-spotlight-on-digital-health</t>
        </is>
      </c>
    </row>
    <row r="9">
      <c r="A9" s="5" t="inlineStr">
        <is>
          <t>India</t>
        </is>
      </c>
      <c r="B9" s="5" t="inlineStr">
        <is>
          <t>US academic medical centers</t>
        </is>
      </c>
      <c r="C9" s="5" t="inlineStr">
        <is>
          <t>MD Anderson Cancer Center</t>
        </is>
      </c>
      <c r="D9" s="5" t="inlineStr">
        <is>
          <t>Tata Memorial Hospital (Mumbai)</t>
        </is>
      </c>
      <c r="E9" s="5" t="inlineStr">
        <is>
          <t>Sister institution; Project ECHO palliative-care partner</t>
        </is>
      </c>
      <c r="F9" s="5" t="inlineStr">
        <is>
          <t>Agreement signed 2003; Tata Memorial listed as ECHO partner on MD Anderson's site (2026)</t>
        </is>
      </c>
      <c r="G9" s="6" t="n">
        <v>46290</v>
      </c>
      <c r="H9" s="7">
        <f>TODAY()-G9</f>
        <v/>
      </c>
      <c r="I9" s="5">
        <f>IF(H9&gt;'About'!$B$3,"Yes","No")</f>
        <v/>
      </c>
      <c r="J9" s="5" t="inlineStr">
        <is>
          <t>MD Anderson signed a sister-institution agreement with Tata Memorial Hospital on 6 October 2003. MD Anderson's site lists Tata Memorial as a partner in its Project ECHO palliative-care program for Africa and India, funded through its Sister Institution Network Fund.</t>
        </is>
      </c>
      <c r="K9" s="5" t="inlineStr">
        <is>
          <t>India Herald: https://india-herald.com/md-anderson-cancer-center-signs-sister-institution-accord-with-tata-memoria-p305-19.htm
The University of Texas MD Anderson Cancer Center: https://www.mdanderson.org/education-training/outreach-programs/project-echo/programs/palliative-care-africa.html</t>
        </is>
      </c>
    </row>
    <row r="10">
      <c r="A10" s="5" t="inlineStr">
        <is>
          <t>India</t>
        </is>
      </c>
      <c r="B10" s="5" t="inlineStr">
        <is>
          <t>US academic medical centers</t>
        </is>
      </c>
      <c r="C10" s="5" t="inlineStr">
        <is>
          <t>Mass General Brigham</t>
        </is>
      </c>
      <c r="D10" s="5" t="inlineStr">
        <is>
          <t>Wockhardt Hospitals</t>
        </is>
      </c>
      <c r="E10" s="5" t="inlineStr">
        <is>
          <t>Hospital development, clinical programs and quality improvement, through Harvard Medical International and later Partners Harvard Medical International</t>
        </is>
      </c>
      <c r="F10" s="5" t="inlineStr">
        <is>
          <t>Began about 2001; current status not confirmed; no India partnership on MGB's global partnerships page (2026)</t>
        </is>
      </c>
      <c r="G10" s="6" t="n">
        <v>46290</v>
      </c>
      <c r="H10" s="7">
        <f>TODAY()-G10</f>
        <v/>
      </c>
      <c r="I10" s="5">
        <f>IF(H10&gt;'About'!$B$3,"Yes","No")</f>
        <v/>
      </c>
      <c r="J10" s="5" t="inlineStr">
        <is>
          <t>Harvard Medical International helped Wockhardt Hospitals develop facilities, clinical programs and a performance-improvement plan that led to international accreditation. Partners HealthCare took over HMI in 2008 as Partners Harvard Medical International and announced in November 2019 that it would rename itself Mass General Brigham. Wockhardt described a ten-year PHMI relationship in 2010-11, and MGB's global partnerships page does not list India.</t>
        </is>
      </c>
      <c r="K10" s="5" t="inlineStr">
        <is>
          <t>Harvard Magazine: https://www.harvardmagazine.com/2008/01/harvard-medical
Harvard Gazette: https://news.harvard.edu/gazette/story/2008/04/partners-healthcare-to-assume-management-of-harvard-medical-international/
WBUR News: https://www.wbur.org/news/2019/11/27/partners-mass-general-brigham-hospitals
Wockhardt Limited: https://www.wockhardt.com/wp-content/uploads/2022/08/annual-report-2010-11-53a4d.pdf
Mass General Brigham: https://www.massgeneralbrigham.org/en/about/members-affiliates/global-partnerships</t>
        </is>
      </c>
    </row>
    <row r="11">
      <c r="A11" s="5" t="inlineStr">
        <is>
          <t>India</t>
        </is>
      </c>
      <c r="B11" s="5" t="inlineStr">
        <is>
          <t>US academic medical centers</t>
        </is>
      </c>
      <c r="C11" s="5" t="inlineStr">
        <is>
          <t>Mayo Clinic</t>
        </is>
      </c>
      <c r="D11" s="5" t="inlineStr">
        <is>
          <t>AIG Hospitals (Hyderabad); Lilavati Hospital (Mumbai); Adani Health City (Ahmedabad and Mumbai)</t>
        </is>
      </c>
      <c r="E11" s="5" t="inlineStr">
        <is>
          <t>Care Network member; nursing program and planned projects; strategic advisory; Mumbai patient office</t>
        </is>
      </c>
      <c r="F11" s="5" t="inlineStr">
        <is>
          <t>AIG joined 2019, current membership not confirmed; Lilavati and Adani announced 2025, current status of the planned projects not confirmed</t>
        </is>
      </c>
      <c r="G11" s="6" t="n">
        <v>46290</v>
      </c>
      <c r="H11" s="7">
        <f>TODAY()-G11</f>
        <v/>
      </c>
      <c r="I11" s="5">
        <f>IF(H11&gt;'About'!$B$3,"Yes","No")</f>
        <v/>
      </c>
      <c r="J11" s="5" t="inlineStr">
        <is>
          <t>AIG Hospitals joined the Mayo Clinic Care Network in October 2019, and Mayo's 2023 tax filings still listed India among member locations. Lilavati announced a nursing program, a 300-bed cancer institute and a GIFT City project with Mayo in January 2025, and trained 120 nurses in March 2025. Adani engaged Mayo in February 2025 to advise on two Health City campuses. Mayo opened a patient information office in Mumbai in February 2023.</t>
        </is>
      </c>
      <c r="K11" s="5" t="inlineStr">
        <is>
          <t>Mayo Clinic: https://www.newswise.com/articles/aig-hospitals-in-india-joins-mayo-clinic-care-network
Mayo Clinic: https://newsnetwork.mayoclinic.org/discussion/aig-hospitals-in-india-joins-mayo-clinic-care-network/
Post Bulletin: https://www.postbulletin.com/business/billionaire-to-partner-with-mayo-clinic-on-india-hospitals
Press Trust of India: https://medicalbuyer.co.in/lilavati-hospital-mayo-clinic-to-establish-300-bed-cancer-institute-in-mumbai/
Kajal Rajput: https://medicaldialogues.in/news/health/hospital-diagnostics/mayo-clinic-lilavati-hospital-complete-indias-first-nursing-excellence-training-program-145698
Adani Group: https://www.adani.com/newsroom/media-releases/adani-to-partner-mayo-clinic-to-establish-affordable-world-class-healthcare-facilities
Mayo Clinic: https://www.newswise.com/articles/mayo-clinic-opens-patient-information-office-in-india</t>
        </is>
      </c>
    </row>
    <row r="12">
      <c r="A12" s="5" t="inlineStr">
        <is>
          <t>India</t>
        </is>
      </c>
      <c r="B12" s="5" t="inlineStr">
        <is>
          <t>US academic medical centers</t>
        </is>
      </c>
      <c r="C12" s="5" t="inlineStr">
        <is>
          <t>Memorial Sloan Kettering</t>
        </is>
      </c>
      <c r="D12" s="5" t="inlineStr">
        <is>
          <t>iCliniq (Chennai)</t>
        </is>
      </c>
      <c r="E12" s="5" t="inlineStr">
        <is>
          <t>Remote second-opinion service (MSKCC India)</t>
        </is>
      </c>
      <c r="F12" s="5" t="inlineStr">
        <is>
          <t>Launched 2021; current status not confirmed</t>
        </is>
      </c>
      <c r="G12" s="6" t="n">
        <v>46290</v>
      </c>
      <c r="H12" s="7">
        <f>TODAY()-G12</f>
        <v/>
      </c>
      <c r="I12" s="5">
        <f>IF(H12&gt;'About'!$B$3,"Yes","No")</f>
        <v/>
      </c>
      <c r="J12" s="5" t="inlineStr">
        <is>
          <t>Memorial Sloan Kettering launched MSKCC India with the telemedicine company iCliniq on 2 August 2021, offering remote opinions coordinated from Chennai. iCliniq's MSK India pages had been permanently removed by September 2026, so the service may have ended.</t>
        </is>
      </c>
      <c r="K12" s="5" t="inlineStr">
        <is>
          <t>Memorial Sloan Kettering Cancer Center: https://www.prnewswire.com/news-releases/memorial-sloan-kettering-cancer-center-launches-mskcc-india-to-expand-access-to-world-renowned-oncologists-cancer-care-research-and-education-301345795.html
iCliniq: https://mskcc.icliniq.com/mskcc-india-services/mskcc-patient-faqs</t>
        </is>
      </c>
    </row>
    <row r="13">
      <c r="A13" s="5" t="inlineStr">
        <is>
          <t>India</t>
        </is>
      </c>
      <c r="B13" s="5" t="inlineStr">
        <is>
          <t>US academic medical centers</t>
        </is>
      </c>
      <c r="C13" s="5" t="inlineStr">
        <is>
          <t>Mount Sinai Health System</t>
        </is>
      </c>
      <c r="D13" s="5" t="inlineStr">
        <is>
          <t>Ramaiah Memorial Hospital (Bengaluru)</t>
        </is>
      </c>
      <c r="E13" s="5" t="inlineStr">
        <is>
          <t>Exclusive long-term collaboration: centers of excellence, quality, technology and complex-case review</t>
        </is>
      </c>
      <c r="F13" s="5" t="inlineStr">
        <is>
          <t>Signed July 2024; 10-year term reported; still presented on Ramaiah's website (2026)</t>
        </is>
      </c>
      <c r="G13" s="6" t="n">
        <v>46290</v>
      </c>
      <c r="H13" s="7">
        <f>TODAY()-G13</f>
        <v/>
      </c>
      <c r="I13" s="5">
        <f>IF(H13&gt;'About'!$B$3,"Yes","No")</f>
        <v/>
      </c>
      <c r="J13" s="5" t="inlineStr">
        <is>
          <t>Mount Sinai announced an exclusive long-term collaboration with Ramaiah Memorial Hospital on 12 July 2024, and Deccan Herald reported a 10-year term from 1 July 2024. It covers oncology, cardiology, neurosciences and urology-nephrology centers, quality and technology, and joint review of complex cases, and Ramaiah's website still presents it. It is the closest peer model for a CSI affiliation.</t>
        </is>
      </c>
      <c r="K13" s="5" t="inlineStr">
        <is>
          <t>Mount Sinai Health System: https://finance.yahoo.com/news/ramaiah-memorial-hospital-signs-long-143000744.html
Mount Sinai Health System: https://www.mountsinai.org/about/newsroom/2024/ramaiah-memorial-hospital-signs-long-term-collaboration-agreement-with-the-mount-sinai-health-system-in-new-york-for-specialty-care-development-and-quality-and-technological-advancements
Deccan Herald: https://www.deccanherald.com/india/karnataka/bengaluru/ramaiah-memorial-inks-10-year-partnership-with-mount-sinai-health-system-of-new-york-3103995
M S Ramaiah Memorial Hospital: https://msrmh.com/collaborations/</t>
        </is>
      </c>
    </row>
    <row r="14">
      <c r="A14" s="5" t="inlineStr">
        <is>
          <t>India</t>
        </is>
      </c>
      <c r="B14" s="5" t="inlineStr">
        <is>
          <t>US academic medical centers</t>
        </is>
      </c>
      <c r="C14" s="5" t="inlineStr">
        <is>
          <t>NewYork-Presbyterian</t>
        </is>
      </c>
      <c r="D14" s="5" t="inlineStr">
        <is>
          <t>Emergency services in Ahmedabad and Mumbai</t>
        </is>
      </c>
      <c r="E14" s="5" t="inlineStr">
        <is>
          <t>Volunteer disaster-preparedness training</t>
        </is>
      </c>
      <c r="F14" s="5" t="inlineStr">
        <is>
          <t>Held 2007 and 2008; no current program publicly listed</t>
        </is>
      </c>
      <c r="G14" s="6" t="n">
        <v>46290</v>
      </c>
      <c r="H14" s="7">
        <f>TODAY()-G14</f>
        <v/>
      </c>
      <c r="I14" s="5">
        <f>IF(H14&gt;'About'!$B$3,"Yes","No")</f>
        <v/>
      </c>
      <c r="J14" s="5" t="inlineStr">
        <is>
          <t>NewYork-Presbyterian emergency-medicine volunteers ran disaster-preparedness training and drills in Ahmedabad in November 2007 and in Mumbai in October and November 2008.</t>
        </is>
      </c>
      <c r="K14" s="5" t="inlineStr">
        <is>
          <t>NewYork-Presbyterian: https://www.nyp.org/news/nyp-disaster-experts-go-to-india-and-sri-lanka-improve-emergency</t>
        </is>
      </c>
    </row>
    <row r="15">
      <c r="A15" s="5" t="inlineStr">
        <is>
          <t>India</t>
        </is>
      </c>
      <c r="B15" s="5" t="inlineStr">
        <is>
          <t>US academic medical centers</t>
        </is>
      </c>
      <c r="C15" s="5" t="inlineStr">
        <is>
          <t>UCLA Health</t>
        </is>
      </c>
      <c r="D15" s="5" t="inlineStr">
        <is>
          <t>Narendra Modi Medical College (Ahmedabad); AIIMS New Delhi</t>
        </is>
      </c>
      <c r="E15" s="5" t="inlineStr">
        <is>
          <t>OB/GYN department resident exchange and quality project</t>
        </is>
      </c>
      <c r="F15" s="5" t="inlineStr">
        <is>
          <t>Began 2024; department level</t>
        </is>
      </c>
      <c r="G15" s="6" t="n">
        <v>46290</v>
      </c>
      <c r="H15" s="7">
        <f>TODAY()-G15</f>
        <v/>
      </c>
      <c r="I15" s="5">
        <f>IF(H15&gt;'About'!$B$3,"Yes","No")</f>
        <v/>
      </c>
      <c r="J15" s="5" t="inlineStr">
        <is>
          <t>UCLA's OB/GYN department launched a resident exchange with Narendra Modi Medical College in 2024, began joint academic seminars in summer 2025 and completed the first phase of a postpartum-hemorrhage quality project with AIIMS New Delhi. These are grant-funded departmental projects, not UCLA Health system affiliations.</t>
        </is>
      </c>
      <c r="K15" s="5" t="inlineStr">
        <is>
          <t>UCLA Health, Department of Obstetrics and Gynecology: https://www.uclahealth.org/departments/obgyn/about-us/global-reproductive-health-alliance-collaborative-engagement/ucla-india-global-health-exchange-obgyn</t>
        </is>
      </c>
    </row>
    <row r="16">
      <c r="A16" s="5" t="inlineStr">
        <is>
          <t>India</t>
        </is>
      </c>
      <c r="B16" s="5" t="inlineStr">
        <is>
          <t>US academic medical centers</t>
        </is>
      </c>
      <c r="C16" s="5" t="inlineStr">
        <is>
          <t>UPMC</t>
        </is>
      </c>
      <c r="D16" s="5" t="inlineStr">
        <is>
          <t>TeleChikitsa Ventures (Bangalore); Citizens Hospital (Hyderabad)</t>
        </is>
      </c>
      <c r="E16" s="5" t="inlineStr">
        <is>
          <t>Telemedicine second opinions; clinical pathology laboratory development</t>
        </is>
      </c>
      <c r="F16" s="5" t="inlineStr">
        <is>
          <t>Announced 2014; current status not confirmed; India not listed on UPMC International's locations page (2026)</t>
        </is>
      </c>
      <c r="G16" s="6" t="n">
        <v>46290</v>
      </c>
      <c r="H16" s="7">
        <f>TODAY()-G16</f>
        <v/>
      </c>
      <c r="I16" s="5">
        <f>IF(H16&gt;'About'!$B$3,"Yes","No")</f>
        <v/>
      </c>
      <c r="J16" s="5" t="inlineStr">
        <is>
          <t>UPMC signed a telemedicine second-opinion agreement with TeleChikitsa Ventures in February 2014, its second India agreement after helping Citizens Hospital build a clinical pathology laboratory. UPMC International's locations page lists Croatia, Ireland and Italy but not India.</t>
        </is>
      </c>
      <c r="K16" s="5" t="inlineStr">
        <is>
          <t>UPMC: https://www.eurekalert.org/news-releases/679748
UPMC International: https://www.upmc.com/about/international-services/locations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8" customWidth="1" min="2" max="2"/>
  </cols>
  <sheetData>
    <row r="1">
      <c r="A1" s="8" t="inlineStr">
        <is>
          <t>Institution</t>
        </is>
      </c>
      <c r="B1" s="8" t="inlineStr">
        <is>
          <t>India</t>
        </is>
      </c>
    </row>
    <row r="2">
      <c r="A2" s="5" t="inlineStr">
        <is>
          <t>Mayo Clinic</t>
        </is>
      </c>
      <c r="B2" s="5" t="inlineStr">
        <is>
          <t>AIG joined 2019, current membership not confirmed; Lilavati and Adani announced 2025, current status of the planned projects not confirmed</t>
        </is>
      </c>
    </row>
    <row r="3">
      <c r="A3" s="5" t="inlineStr">
        <is>
          <t>Cleveland Clinic</t>
        </is>
      </c>
      <c r="B3" s="5" t="inlineStr">
        <is>
          <t>MoU signed June 2026; project at MoU stage</t>
        </is>
      </c>
    </row>
    <row r="4">
      <c r="A4" s="5" t="inlineStr">
        <is>
          <t>Johns Hopkins</t>
        </is>
      </c>
      <c r="B4" s="5" t="inlineStr">
        <is>
          <t>HCL affiliation began 2014 for 10 years, current status not confirmed; IIT Bombay collaboration announced 2023, current status not confirmed</t>
        </is>
      </c>
    </row>
    <row r="5">
      <c r="A5" s="5" t="inlineStr">
        <is>
          <t>Memorial Sloan Kettering</t>
        </is>
      </c>
      <c r="B5" s="5" t="inlineStr">
        <is>
          <t>Launched 2021; current status not confirmed</t>
        </is>
      </c>
    </row>
    <row r="6">
      <c r="A6" s="5" t="inlineStr">
        <is>
          <t>MD Anderson Cancer Center</t>
        </is>
      </c>
      <c r="B6" s="5" t="inlineStr">
        <is>
          <t>Agreement signed 2003; Tata Memorial listed as ECHO partner on MD Anderson's site (2026)</t>
        </is>
      </c>
    </row>
    <row r="7">
      <c r="A7" s="5" t="inlineStr">
        <is>
          <t>Houston Methodist</t>
        </is>
      </c>
      <c r="B7" s="5" t="inlineStr">
        <is>
          <t>No India partnership listed (2026)</t>
        </is>
      </c>
    </row>
    <row r="8">
      <c r="A8" s="5" t="inlineStr">
        <is>
          <t>UCLA Health</t>
        </is>
      </c>
      <c r="B8" s="5" t="inlineStr">
        <is>
          <t>Began 2024; department level</t>
        </is>
      </c>
    </row>
    <row r="9">
      <c r="A9" s="5" t="inlineStr">
        <is>
          <t>NewYork-Presbyterian</t>
        </is>
      </c>
      <c r="B9" s="5" t="inlineStr">
        <is>
          <t>Held 2007 and 2008; no current program publicly listed</t>
        </is>
      </c>
    </row>
    <row r="10">
      <c r="A10" s="5" t="inlineStr">
        <is>
          <t>UPMC</t>
        </is>
      </c>
      <c r="B10" s="5" t="inlineStr">
        <is>
          <t>Announced 2014; current status not confirmed; India not listed on UPMC International's locations page (2026)</t>
        </is>
      </c>
    </row>
    <row r="11">
      <c r="A11" s="5" t="inlineStr">
        <is>
          <t>Mass General Brigham</t>
        </is>
      </c>
      <c r="B11" s="5" t="inlineStr">
        <is>
          <t>Began about 2001; current status not confirmed; no India partnership on MGB's global partnerships page (2026)</t>
        </is>
      </c>
    </row>
    <row r="12">
      <c r="A12" s="5" t="inlineStr">
        <is>
          <t>Northwestern Medicine</t>
        </is>
      </c>
      <c r="B12" s="5" t="inlineStr">
        <is>
          <t>No India partnership listed (2026)</t>
        </is>
      </c>
    </row>
    <row r="13">
      <c r="A13" s="5" t="inlineStr">
        <is>
          <t>Mount Sinai Health System</t>
        </is>
      </c>
      <c r="B13" s="5" t="inlineStr">
        <is>
          <t>Signed July 2024; 10-year term reported; still presented on Ramaiah's website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2026-09-30T19:49:45Z</dcterms:created>
  <dcterms:modified xmlns:dcterms="http://purl.org/dc/terms/" xmlns:xsi="http://www.w3.org/2001/XMLSchema-instance" xsi:type="dcterms:W3CDTF">2026-09-30T19:49:45Z</dcterms:modified>
</cp:coreProperties>
</file>